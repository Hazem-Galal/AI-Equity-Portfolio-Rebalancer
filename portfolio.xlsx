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<sst xmlns="http://schemas.openxmlformats.org/spreadsheetml/2006/main" count="15" uniqueCount="15">
  <si>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Ticker</t>
  </si>
  <si>
    <t>Quantity</t>
  </si>
  <si>
    <t>Equity ratio</t>
  </si>
  <si>
    <t>Fixed income ratio</t>
  </si>
  <si>
    <t>Price</t>
  </si>
  <si>
    <t>Total Value</t>
  </si>
  <si>
    <t>New Quantity After Rebalancing</t>
  </si>
  <si>
    <t>New Total Value</t>
  </si>
  <si>
    <t>SPY</t>
  </si>
  <si>
    <t>BND</t>
  </si>
  <si>
    <t>AOR</t>
  </si>
  <si>
    <t>AOA</t>
  </si>
  <si>
    <t>TOTAL:</t>
  </si>
  <si>
    <t>What proportion is Equity?</t>
  </si>
  <si>
    <t>What proportion is Fixed Income?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</si>
</sst>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1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1" fillId="0" fontId="2" numFmtId="0" xfId="0" applyBorder="1" applyFont="1"/>
    <xf borderId="1" fillId="0" fontId="2" numFmtId="164" xfId="0" applyBorder="1" applyFont="1" applyNumberFormat="1"/>
    <xf borderId="1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0.5"/>
    <col customWidth="1" min="4" max="4" width="17.88"/>
    <col customWidth="1" min="7" max="7" width="28.0"/>
    <col customWidth="1" min="8" max="8" width="14.88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2.0</v>
      </c>
      <c r="C2" s="2">
        <v>1.0</v>
      </c>
      <c r="D2" s="2">
        <v>0.0</v>
      </c>
      <c r="E2" s="3">
        <v>671.4</v>
      </c>
      <c r="F2" s="4">
        <f t="shared" ref="F2:F5" si="1">B2*E2</f>
        <v>1342.8</v>
      </c>
      <c r="G2" s="3">
        <v>1.0</v>
      </c>
      <c r="H2" s="4">
        <f t="shared" ref="H2:H5" si="2">G2*E2</f>
        <v>671.4</v>
      </c>
    </row>
    <row r="3">
      <c r="A3" s="2" t="s">
        <v>9</v>
      </c>
      <c r="B3" s="2">
        <v>2.0</v>
      </c>
      <c r="C3" s="2">
        <v>0.0</v>
      </c>
      <c r="D3" s="2">
        <v>1.0</v>
      </c>
      <c r="E3" s="3">
        <v>73.9934</v>
      </c>
      <c r="F3" s="4">
        <f t="shared" si="1"/>
        <v>147.9868</v>
      </c>
      <c r="G3" s="3">
        <v>7.0</v>
      </c>
      <c r="H3" s="4">
        <f t="shared" si="2"/>
        <v>517.9538</v>
      </c>
    </row>
    <row r="4">
      <c r="A4" s="2" t="s">
        <v>10</v>
      </c>
      <c r="B4" s="2">
        <v>2.0</v>
      </c>
      <c r="C4" s="2">
        <v>0.6</v>
      </c>
      <c r="D4" s="2">
        <v>0.4</v>
      </c>
      <c r="E4" s="3">
        <v>64.86</v>
      </c>
      <c r="F4" s="4">
        <f t="shared" si="1"/>
        <v>129.72</v>
      </c>
      <c r="G4" s="3">
        <v>3.0</v>
      </c>
      <c r="H4" s="4">
        <f t="shared" si="2"/>
        <v>194.58</v>
      </c>
    </row>
    <row r="5">
      <c r="A5" s="2" t="s">
        <v>11</v>
      </c>
      <c r="B5" s="2">
        <v>2.0</v>
      </c>
      <c r="C5" s="2">
        <v>0.8</v>
      </c>
      <c r="D5" s="2">
        <v>0.2</v>
      </c>
      <c r="E5" s="3">
        <v>88.96</v>
      </c>
      <c r="F5" s="4">
        <f t="shared" si="1"/>
        <v>177.92</v>
      </c>
      <c r="G5" s="3">
        <v>2.0</v>
      </c>
      <c r="H5" s="4">
        <f t="shared" si="2"/>
        <v>177.92</v>
      </c>
    </row>
    <row r="6">
      <c r="A6" s="2" t="s">
        <v>12</v>
      </c>
      <c r="B6" s="4"/>
      <c r="C6" s="4"/>
      <c r="D6" s="4"/>
      <c r="E6" s="4"/>
      <c r="F6" s="4">
        <f>SUM(F2:F5)</f>
        <v>1798.4268</v>
      </c>
      <c r="G6" s="4"/>
      <c r="H6" s="4">
        <f>SUM(H2:H5)</f>
        <v>1561.8538</v>
      </c>
    </row>
    <row r="7">
      <c r="A7" s="2" t="s">
        <v>13</v>
      </c>
      <c r="B7" s="4"/>
      <c r="C7" s="4"/>
      <c r="D7" s="4"/>
      <c r="E7" s="4"/>
      <c r="F7" s="5">
        <f>SUMPRODUCT(F2:F5,C2:C5)/SUM(F2:F5)</f>
        <v>0.8690751272</v>
      </c>
      <c r="G7" s="4"/>
      <c r="H7" s="5">
        <f>SUMPRODUCT(H2:H5,C2:C5)/SUM(H2:H5)</f>
        <v>0.5957561457</v>
      </c>
    </row>
    <row r="8">
      <c r="A8" s="2" t="s">
        <v>14</v>
      </c>
      <c r="B8" s="4"/>
      <c r="C8" s="4"/>
      <c r="D8" s="4"/>
      <c r="E8" s="4"/>
      <c r="F8" s="6">
        <f>SUMPRODUCT(F2:F5,D2:D5)/SUM(F2:F5)</f>
        <v>0.1309248728</v>
      </c>
      <c r="G8" s="4"/>
      <c r="H8" s="5">
        <f>SUMPRODUCT(H2:H5,D2:D5)/SUM(H2:H5)</f>
        <v>0.4042438543</v>
      </c>
    </row>
  </sheetData>
  <drawing r:id="rId1"/>
</worksheet>
</file>